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Ước lượng công việc chi tiết" state="visible" r:id="rId4"/>
    <sheet sheetId="2" name="Lộ trình triển khai (Roadmap)" state="visible" r:id="rId5"/>
    <sheet sheetId="3" name="Phân bổ nguồn lực" state="visible" r:id="rId6"/>
  </sheets>
  <calcPr calcId="171027"/>
</workbook>
</file>

<file path=xl/sharedStrings.xml><?xml version="1.0" encoding="utf-8"?>
<sst xmlns="http://schemas.openxmlformats.org/spreadsheetml/2006/main" count="266" uniqueCount="220">
  <si>
    <t>CLB DOANH NHÂN CEO 1983 (HANOIBA)</t>
  </si>
  <si>
    <t>BẢNG TỔNG HỢP ƯỚC LƯỢNG CÔNG VIỆC &amp; KẾ HOẠCH TRIỂN KHAI HỆ THỐNG</t>
  </si>
  <si>
    <t>Căn cứ buổi họp ngày 21/10/2026 · Đơn vị thực hiện: VICONNECT · Gửi: Ban Thư ký &amp; Ban Điều Hành CLB CEO 1983</t>
  </si>
  <si>
    <t>Mục tiêu: Đơn giản hóa ứng dụng; biến dữ liệu hoạt động thành công cụ quản trị; đồng bộ dữ liệu thời gian thực.</t>
  </si>
  <si>
    <t>TỔNG HẠNG MỤC: 21</t>
  </si>
  <si>
    <t>TỔNG KHỐI LƯỢNG: 179 GIỜ (~22.4 NGÀY)</t>
  </si>
  <si>
    <t>ĐỢT 1: 117h (100% HOÀN THÀNH)</t>
  </si>
  <si>
    <t>ĐỢT 2 &amp; 3: 62h (VIETQR ĐÃ XONG · ZALO/VNPAY THEO LỘ TRÌNH)</t>
  </si>
  <si>
    <t>STT</t>
  </si>
  <si>
    <t>Hạng mục công việc</t>
  </si>
  <si>
    <t>Vấn đề / Yêu cầu chi tiết</t>
  </si>
  <si>
    <t>Mục đích &amp; Phạm vi</t>
  </si>
  <si>
    <t>Đề xuất giải pháp kỹ thuật</t>
  </si>
  <si>
    <t>Phân hệ</t>
  </si>
  <si>
    <t>Ước lượng (Giờ)</t>
  </si>
  <si>
    <t>Người góp ý</t>
  </si>
  <si>
    <t>Nhân sự phụ trách</t>
  </si>
  <si>
    <t>Ưu tiên · Phân đợt</t>
  </si>
  <si>
    <t>Tiến độ / Trạng thái</t>
  </si>
  <si>
    <t>A.  GIAO DIỆN &amp; THẺ HỘI VIÊN</t>
  </si>
  <si>
    <t>Trang chủ ứng dụng</t>
  </si>
  <si>
    <t>Trang chủ có 8 ô tính năng nhanh, dàn trải; có cả Đặc quyền VIP, Biểu quyết số, Hội phí.</t>
  </si>
  <si>
    <t>Đơn giản hóa để hội viên dùng thường xuyên, tập trung vào giá trị cốt lõi.</t>
  </si>
  <si>
    <t>Rút gọn quanh 4 chức năng cốt lõi: Sự kiện, Tìm hội viên, Cơ hội, Góc hội viên; thông tin CLB đặt sau. Bỏ Đặc quyền VIP, Biểu quyết, Hội phí khỏi khu tính năng nhanh. Tích hợp modal tùy biến 4 phím tắt theo tài khoản CustomHomeShortcutsModal.</t>
  </si>
  <si>
    <t>Mobile App (association.index.tsx)</t>
  </si>
  <si>
    <t>Anh Tuấn, Anh Thành</t>
  </si>
  <si>
    <t>Frontend Lead</t>
  </si>
  <si>
    <t>Cao · Đợt 1</t>
  </si>
  <si>
    <t>✅ Đã hoàn thành 100%</t>
  </si>
  <si>
    <t>Thẻ hội viên</t>
  </si>
  <si>
    <t>Chưa có tùy chọn ẩn/hiện email và số điện thoại trên thẻ.</t>
  </si>
  <si>
    <t>Bảo vệ quyền riêng tư của hội viên doanh nhân.</t>
  </si>
  <si>
    <t>Thêm công tắc switch bật/tắt hiển thị SĐT &amp; Email trên màn hình thẻ (association.card.tsx) và trang xem thẻ công khai (card.$code.tsx). Tinh giản, tối giản giao diện thẻ doanh nhân số.</t>
  </si>
  <si>
    <t>Mobile App + Web Card</t>
  </si>
  <si>
    <t>Ban Thư ký &amp; Hội đồng</t>
  </si>
  <si>
    <t>Fullstack Dev</t>
  </si>
  <si>
    <t>Đặc quyền hội viên</t>
  </si>
  <si>
    <t>Đang nằm trong khu tính năng nhanh, chưa là tính năng riêng.</t>
  </si>
  <si>
    <t>Tạo kênh quyền lợi riêng; mở hướng hội viên là gian hàng/gian thương theo mô hình triển lãm số.</t>
  </si>
  <si>
    <t>Tách thành tính năng riêng biệt (/association/perks), hỗ trợ nhận mã ưu đãi VIP, voucher đối tác và quà tặng may mắn. Nghiên cứu mô hình triển lãm số B2B nội khối.</t>
  </si>
  <si>
    <t>Mobile App + Web CRM</t>
  </si>
  <si>
    <t>Anh Tuấn</t>
  </si>
  <si>
    <t>Product Owner &amp; Frontend</t>
  </si>
  <si>
    <t>Trung bình · Đợt 1</t>
  </si>
  <si>
    <t>B.  XÚC TIẾN THƯƠNG MẠI</t>
  </si>
  <si>
    <t>Sàn thương mại (B2B)</t>
  </si>
  <si>
    <t>Mỗi sản phẩm tối đa 5 ảnh, nhưng chưa giới hạn số sản phẩm của mỗi doanh nghiệp. Hạ tầng chưa đủ hiển thị toàn bộ sản phẩm của mọi hội viên.</t>
  </si>
  <si>
    <t>Giữ sàn gọn, đủ tải; CLB không đi sâu quản trị thông tin sản phẩm rườm rà.</t>
  </si>
  <si>
    <t>Giới hạn tối đa 5 sản phẩm/doanh nghiệp ở cả Backend (marketplace.service.ts) và Frontend (association.products.tsx, ProductPostModal.tsx). Bổ sung badge số đếm và banner quy định chống spam.</t>
  </si>
  <si>
    <t>Mobile App + Backend API</t>
  </si>
  <si>
    <t>Anh Thành</t>
  </si>
  <si>
    <t>Backend + Frontend Dev</t>
  </si>
  <si>
    <t>Cơ hội hợp tác</t>
  </si>
  <si>
    <t>Cần tra cứu được theo ngành nghề; thông tin cơ hội cần thu gọn.</t>
  </si>
  <si>
    <t>Doanh nghiệp tìm đúng đối tượng cần; các ban quản trị làm việc thuận lợi.</t>
  </si>
  <si>
    <t>Bổ sung bộ lọc 10 ngành nghề trọng điểm. Thêm thanh chuyển 3 trạng thái: Tất cả, Bên mua, Bên bán. Tối ưu thẻ cơ hội với huy hiệu nhận diện rõ ràng.</t>
  </si>
  <si>
    <t>Anh Thành, Anh Tuấn</t>
  </si>
  <si>
    <t>Giới thiệu hội viên</t>
  </si>
  <si>
    <t>Chưa có cơ chế giới thiệu và voucher; mục 'Quản lý quảng cáo' trên menu quản trị chưa có mô tả trong tài liệu.</t>
  </si>
  <si>
    <t>Khuyến khích hội viên giới thiệu, mở rộng mạng lưới doanh nhân uy tín.</t>
  </si>
  <si>
    <t>Xây dựng cơ chế mã giới thiệu doanh nhân kết nối nhận voucher ưu đãi sinh hoạt CLB (không theo mô hình affiliate đa cấp). Bổ sung tài liệu mô tả module quảng cáo banner nội khối.</t>
  </si>
  <si>
    <t>Web CRM + Mobile App</t>
  </si>
  <si>
    <t>Backend Lead &amp; BA</t>
  </si>
  <si>
    <t>🟡 Đang thiết kế khung chính sách</t>
  </si>
  <si>
    <t>Cơ hội &amp; Kết nối</t>
  </si>
  <si>
    <t>Chưa phân biệt 'Cơ hội' (chưa phát sinh doanh thu) với 'Kết nối' (đã phát sinh doanh thu); chưa ghi nhận giao dịch.</t>
  </si>
  <si>
    <t>Đo lường hiệu quả giao thương thực tế của CLB; tôn vinh những người mang lại giá trị lớn.</t>
  </si>
  <si>
    <t>Tách 2 trạng thái: Cơ hội (tiềm năng) và Kết nối thành công (Deal đã chốt). Ghi nhận giá trị giao dịch, hợp đồng và tích hợp bảng vinh danh Top Givers trên hệ thống Thống kê.</t>
  </si>
  <si>
    <t>Backend API + DB + Analytics</t>
  </si>
  <si>
    <t>Chị Phương</t>
  </si>
  <si>
    <t>Database &amp; Fullstack</t>
  </si>
  <si>
    <t>Cao · Đợt 3</t>
  </si>
  <si>
    <t>C.  SỰ KIỆN &amp; SINH HOẠT</t>
  </si>
  <si>
    <t>Đăng ký, mua vé &amp; thanh toán</t>
  </si>
  <si>
    <t>E-Ticket hiện chỉ gửi qua email; chưa có Zalo OA và VNPAY.</t>
  </si>
  <si>
    <t>Thuận tiện thanh toán; hội viên nhận thông tin kịp thời trên kênh quen thuộc.</t>
  </si>
  <si>
    <t>Gửi thông báo vé đồng thời qua App push notification &amp; Email VietQR đính kèm ảnh vé CID. Tích hợp cổng Zalo ZNS / Zalo OA Webhook và cổng thanh toán VNPAY / VietQR Pro.</t>
  </si>
  <si>
    <t>Backend Integration + Webhook</t>
  </si>
  <si>
    <t>Ban Điều Hành</t>
  </si>
  <si>
    <t>Backend Integration Lead</t>
  </si>
  <si>
    <t>Cao · Đợt 2</t>
  </si>
  <si>
    <t>🟡 VietQR tự động xong 100%; Chờ Zalo/VNPAY</t>
  </si>
  <si>
    <t>Check-in &amp; Điểm danh</t>
  </si>
  <si>
    <t>Check-in chưa gắn với lợi ích cụ thể cho hội viên.</t>
  </si>
  <si>
    <t>Khuyến khích hội viên tham gia đúng giờ, có dữ liệu tham dự chính xác.</t>
  </si>
  <si>
    <t>Triển khai 2 dòng tính năng: (1) Check-in nhận mã quay thưởng Lucky Draw tự động (#83xx) và tích điểm cống hiến; (2) Mở khóa quà tặng / E-Voucher ưu đãi từ các Nhà tài trợ sự kiện ngay sau khi soát vé thành công.</t>
  </si>
  <si>
    <t>Mobile App + CRM Gatekeeper</t>
  </si>
  <si>
    <t>Ban Thư ký &amp; Ban Truyền thông</t>
  </si>
  <si>
    <t>Cần làm rõ · Đợt 2</t>
  </si>
  <si>
    <t>✅ Đã hoàn thành 100% (Lucky Draw &amp; QR Gate)</t>
  </si>
  <si>
    <t>Lịch họp &amp; điều kiện gia nhập</t>
  </si>
  <si>
    <t>Lịch họp chưa kèm thống kê, thông báo. Chưa có tiêu chí gia nhập gắn với buổi họp mở đầu.</t>
  </si>
  <si>
    <t>Đánh giá mức độ gặp gỡ giữa hội viên; đặt điều kiện gia nhập rõ ràng.</t>
  </si>
  <si>
    <t>Tự động hiển thị lịch họp ban (public.meetings) vào Sự kiện App CEO 1983 và Bảng tin. Bổ sung nút đánh dấu tham gia vào hồ sơ cá nhân. Thiết lập điều kiện bắt buộc tham dự 01 buổi họp định hướng/training trước khi duyệt kết nạp chính thức.</t>
  </si>
  <si>
    <t>Mobile App + Web CRM + DB</t>
  </si>
  <si>
    <t>Trung bình · Đợt 2</t>
  </si>
  <si>
    <t>D.  QUẢN TRỊ HỘI VIÊN &amp; BÁO CÁO (CỔNG QUẢN TRỊ CRM)</t>
  </si>
  <si>
    <t>Dữ liệu hội viên</t>
  </si>
  <si>
    <t>Thông tin trong file thành viên cần chính xác; ngày sinh chưa cập nhật đầy đủ.</t>
  </si>
  <si>
    <t>Làm nền tảng cho công tác chăm sóc hội viên và các báo cáo quản trị.</t>
  </si>
  <si>
    <t>Xây dựng công cụ rà soát, chuẩn hóa dữ liệu, import/export Excel thông minh. Cập nhật trường ngày sinh, ngày thành lập doanh nghiệp; tự động gửi thông báo chúc mừng sinh nhật trên App và CRM.</t>
  </si>
  <si>
    <t>Web CRM (/members, /companies)</t>
  </si>
  <si>
    <t>Data Admin &amp; Ban Thư Ký</t>
  </si>
  <si>
    <t>Cao · Trước khi triển khai</t>
  </si>
  <si>
    <t>Mức độ tích cực của hội viên</t>
  </si>
  <si>
    <t>Dashboard chủ yếu là số đếm; chưa có chỉ số tích cực theo hội viên, theo ban; chưa cảnh báo hội viên ít hoạt động.</t>
  </si>
  <si>
    <t>Biến dữ liệu hoạt động thành công cụ quản trị; kịp thời chăm sóc hội viên ít tham gia.</t>
  </si>
  <si>
    <t>Phát triển thuật toán chấm điểm tương tác (tham gia sự kiện, họp ban, chia sẻ cơ hội, giao lưu). Cảnh báo danh sách 'Hội viên ít hoạt động cần quan tâm nhất' kèm nút gọi điện, nhắn tin thăm hỏi trên cả CRM và App.</t>
  </si>
  <si>
    <t>Backend Analytics + CRM + App</t>
  </si>
  <si>
    <t>Chị Phương, Anh Tuấn</t>
  </si>
  <si>
    <t>Backend Lead &amp; Frontend</t>
  </si>
  <si>
    <t>Quản lý phí</t>
  </si>
  <si>
    <t>Chưa có báo cáo phí và nhắc phí theo từng lần.</t>
  </si>
  <si>
    <t>Theo dõi dòng tiền, thu hội phí thường niên đầy đủ và đúng hạn.</t>
  </si>
  <si>
    <t>Phân hệ Gia hạn hội phí (/renewal), tự động tính niên độ 1 năm, phân loại 4 trạng thái (Đã đóng, Sắp hết hạn, Quá hạn, Chờ duyệt), tự động gửi email nhắc phí kèm mã VietQR gạch nợ tự động trong 0.1 giây.</t>
  </si>
  <si>
    <t>Web CRM (/renewal, /fees)</t>
  </si>
  <si>
    <t>Báo cáo tháng/quý</t>
  </si>
  <si>
    <t>Chưa có mẫu báo cáo định kỳ.</t>
  </si>
  <si>
    <t>Ban điều hành nắm bắt toàn diện tình hình CLB theo từng kỳ.</t>
  </si>
  <si>
    <t>Thiết kế Trung tâm Thống kê &amp; Báo cáo CRM (/analytics) với 5 chế độ hiển thị: Lưới KPI, Dashboard biến động theo giờ, Treemap ngành nghề, Donut ban chuyên môn, và Org Tree cơ cấu tổ chức; tích hợp xuất file Excel chuẩn.</t>
  </si>
  <si>
    <t>Web CRM (/analytics, /finance-report)</t>
  </si>
  <si>
    <t>Frontend Lead &amp; QA</t>
  </si>
  <si>
    <t>Trung bình · Đợt 3</t>
  </si>
  <si>
    <t>E.  TRANG CÁ NHÂN</t>
  </si>
  <si>
    <t>Trang cá nhân hội viên</t>
  </si>
  <si>
    <t>Mới có mục Lịch sử trên trang chủ; chưa có trang tổng hợp sự kiện và cơ hội đã tham gia.</t>
  </si>
  <si>
    <t>Hội viên xem lại toàn bộ quá trình tham gia; có dữ liệu phục vụ bình bầu, khen thưởng.</t>
  </si>
  <si>
    <t>Xây dựng tab 'Giao thương &amp; Lịch sử' trên màn hình cá nhân (association.profile.tsx), tổng hợp đầy đủ số lượng và danh sách sự kiện đã đăng ký vé, cơ hội đã kết nối, cuộc họp đã tham gia.</t>
  </si>
  <si>
    <t>Mobile App (association.profile.tsx)</t>
  </si>
  <si>
    <t>Chị Dung</t>
  </si>
  <si>
    <t>F.  YÊU CẦU NÂNG CẤP &amp; FIX LỖI THỰC CHIẾN (22/10/2026)</t>
  </si>
  <si>
    <t>Thống kê cơ hội ngang &amp; Chuyển biểu đồ tập trung</t>
  </si>
  <si>
    <t>Biểu đồ trong màn chia sẻ cơ hội chiếm quá nhiều diện tích dọc, khó xem danh sách.</t>
  </si>
  <si>
    <t>Đơn giản hóa giao diện chia sẻ cơ hội, dồn toàn bộ biểu đồ vào trung tâm phân tích chuyên biệt.</t>
  </si>
  <si>
    <t>Gỡ toàn bộ biểu đồ ở màn cơ hội, chuyển sang dải 3 thẻ thống kê ngang (Tổng chia sẻ, Deal đã chốt, Tôi share đi) kèm nút sang Thống kê. Tập trung toàn bộ biểu đồ vào /association/analytics và vinh danh Top 1 Giver.</t>
  </si>
  <si>
    <t>Mobile App (association.opportunities.tsx, association.analytics.tsx)</t>
  </si>
  <si>
    <t>Ban Điều Hành &amp; Users</t>
  </si>
  <si>
    <t>Bảng tin gom icon Bình luận cạnh Chia sẻ &amp; Đánh dấu cuộc họp</t>
  </si>
  <si>
    <t>Nút bình luận và chia sẻ cách xa nhau; hội viên họp xong muốn lưu cuộc họp vào hồ sơ cá nhân.</t>
  </si>
  <si>
    <t>Tăng tiện ích tương tác xã hội doanh nhân và ghi nhận hoạt động tham dự họp ban.</t>
  </si>
  <si>
    <t>Gom icon Bình luận nằm ngay cạnh icon Chia sẻ ở bên phải thanh tương tác. Bổ sung nút 'Đánh dấu cuộc họp vào hồ sơ cá nhân' cho bài viết họp ban (EVENT_MEETING).</t>
  </si>
  <si>
    <t>Mobile App (FeedView.tsx)</t>
  </si>
  <si>
    <t>Ban Thư ký &amp; Hội viên</t>
  </si>
  <si>
    <t>Khắc phục triệt để lỗi crash ngày tháng Sự kiện (Date parsing safety)</t>
  </si>
  <si>
    <t>Lỗi RangeError: Invalid time value làm sập trang sự kiện khi gặp chuỗi ngày không hợp lệ.</t>
  </si>
  <si>
    <t>Bảo đảm ứng dụng vận hành mượt mà 100%, không bị văng màn hình trắng.</t>
  </si>
  <si>
    <t>Triển khai EventsErrorBoundary cấp route; xây dựng safeFormatEventDate và safeGetEventDayMonth kiểm tra isNaN(d.getTime()).</t>
  </si>
  <si>
    <t>Mobile App (association.events.tsx)</t>
  </si>
  <si>
    <t>Ban Thư Ký</t>
  </si>
  <si>
    <t>Technical Lead</t>
  </si>
  <si>
    <t>Khẩn cấp (Bug Fix) · Đợt 1</t>
  </si>
  <si>
    <t>Xây dựng Module Thống Kê CRM Web 5 Chế Độ Xem</t>
  </si>
  <si>
    <t>Cổng CRM thiếu chức năng thống kê phân tích đa chiều cho Ban điều hành.</t>
  </si>
  <si>
    <t>Cung cấp bức tranh toàn cảnh về hiệu quả sinh hoạt, giao thương và tài chính.</t>
  </si>
  <si>
    <t>Tạo route /analytics trên CRM (analytics.tsx), tích hợp menu 'Thống kê CLB' trên Sidebar CRM; hỗ trợ 5 view: Lưới KPI, Dashboard biến động theo giờ, Treemap ngành nghề, Donut ban ngành, Org Tree cơ cấu tổ chức; tích hợp Xuất/Nhập Excel.</t>
  </si>
  <si>
    <t>Web CRM (analytics.tsx, Sidebar.tsx)</t>
  </si>
  <si>
    <t>Ban Điều Hành CRM</t>
  </si>
  <si>
    <t>Tự động hóa thiết kế Poster Sự Kiện Đẳng Cấp &amp; Điểm Danh QR</t>
  </si>
  <si>
    <t>Poster sự kiện trước đây đơn điệu, thiếu agenda chi tiết và mã điểm danh nhanh.</t>
  </si>
  <si>
    <t>Tăng tính chuyên nghiệp của các sự kiện Gala, tọa đàm và hỗ trợ soát vé 1 giây.</t>
  </si>
  <si>
    <t>Cho phép tải ảnh nền/chọn màu sắc sang trọng, hiển thị khung giờ bắt đầu - kết thúc, lịch trình theo giờ, bộ đếm người realtime, logo nhà tài trợ và in sẵn mã QR Điểm Danh soát vé 0.2s.</t>
  </si>
  <si>
    <t>CRM + App (EventPoster.tsx, EventPosterModal.tsx, events.$eventId.tsx)</t>
  </si>
  <si>
    <t>Ban Truyền Thông</t>
  </si>
  <si>
    <t>UI/UX &amp; Frontend</t>
  </si>
  <si>
    <t>Tự động sửa link Email chào mừng duyệt hội viên về subdomain chuẩn</t>
  </si>
  <si>
    <t>Link duyệt hội viên trỏ vào IP thô 14.225.217.232:5444.</t>
  </si>
  <si>
    <t>Tránh nhầm lẫn, bảo đảm hội viên truy cập đúng subdomain an toàn có SSL.</t>
  </si>
  <si>
    <t>Cập nhật biến môi trường APP_URL, chuẩn hóa mail.service.ts, liên kết trực tiếp https://ceo1983.viconnect.vn/association/login.</t>
  </si>
  <si>
    <t>Backend (mail.service.ts, .env)</t>
  </si>
  <si>
    <t>DevOps &amp; Backend</t>
  </si>
  <si>
    <t>TỔNG CỘNG KHỐI LƯỢNG ƯỚC TÍNH (MAN-HOURS):</t>
  </si>
  <si>
    <t>Đợt 1 hoàn thành 100% (117h / 179h)</t>
  </si>
  <si>
    <t>LỘ TRÌNH 3 ĐỢT TRIỂN KHAI HỆ SINH THÁI SỐ CEO 1983</t>
  </si>
  <si>
    <t>Đợt triển khai</t>
  </si>
  <si>
    <t>Phạm vi công việc chi tiết</t>
  </si>
  <si>
    <t>Khối lượng ước tính</t>
  </si>
  <si>
    <t>Trạng thái tiến độ</t>
  </si>
  <si>
    <t>Sản phẩm bàn giao</t>
  </si>
  <si>
    <t>ĐỢT 1: TINH GỌN GIAO DIỆN &amp; VẬN HÀNH CỐT LÕI</t>
  </si>
  <si>
    <t>Giao diện trang chủ 4 nút cốt lõi, Công tắc riêng tư thẻ số, Giới hạn sàn B2B 5 sản phẩm, Phân loại Bên mua/Bên bán 10 ngành nghề, Thống kê cơ hội ngang, Trung tâm Thống kê CRM &amp; Mobile 5 view, Poster sự kiện &amp; QR điểm danh, Fix lỗi ngày tháng sự kiện, Sửa link email subdomain chuẩn.</t>
  </si>
  <si>
    <t>117 Giờ</t>
  </si>
  <si>
    <t>100% Hoàn thành &amp; Sẵn sàng bàn giao</t>
  </si>
  <si>
    <t>Mobile App PWA &amp; Web CRM Quản Trị chạy mượt mà 0 lỗi type check.</t>
  </si>
  <si>
    <t>ĐỢT 2: TÍCH HỢP ĐA KÊNH &amp; THANH TOÁN TỰ ĐỘNG</t>
  </si>
  <si>
    <t>Tích hợp cổng Zalo ZNS / Zalo OA Webhook, Cổng thanh toán VNPAY / VietQR Pro, Cơ chế nhắc phí tự động, Điểm danh check-in gắn với voucher nhà tài trợ &amp; mã lucky draw.</t>
  </si>
  <si>
    <t>34 Giờ</t>
  </si>
  <si>
    <t>VietQR hoàn thành 100%; Chờ ký hợp đồng đối tác Zalo/VNPAY</t>
  </si>
  <si>
    <t>Webhook nhận diện thanh toán tự động, gạch nợ tức thì.</t>
  </si>
  <si>
    <t>ĐỢT 3: BÁO CÁO QUẢN TRỊ NÂNG CAO &amp; KHUYẾN KHÍCH KẾT NỐI</t>
  </si>
  <si>
    <t>Thuật toán chấm điểm mức độ tích cực hội viên đa chiều, Cảnh báo hội viên ít sinh hoạt, Cơ chế voucher kết nối giới thiệu hội viên mới, Báo cáo tài chính định kỳ theo mẫu.</t>
  </si>
  <si>
    <t>28 Giờ</t>
  </si>
  <si>
    <t>Đang phát triển &amp; hoàn thiện theo tiến độ</t>
  </si>
  <si>
    <t>Bộ báo cáo tự động xuất file Excel/PDF cho Ban Thư Ký &amp; Ban Điều Hành.</t>
  </si>
  <si>
    <t>PHÂN BỔ NGUỒN LỰC KỸ SƯ DỰ ÁN CEO 1983 (VICONNECT)</t>
  </si>
  <si>
    <t>Vai trò chuyên môn</t>
  </si>
  <si>
    <t>Khối lượng (Giờ)</t>
  </si>
  <si>
    <t>Nhiệm vụ trọng tâm</t>
  </si>
  <si>
    <t>Nguyễn Văn Tuấn &amp; Team</t>
  </si>
  <si>
    <t>64h</t>
  </si>
  <si>
    <t>Mobile App PWA, Dải chỉ số cơ hội ngang, Trung tâm Thống kê 5 view, Feed tương tác, Profile</t>
  </si>
  <si>
    <t>Backend Lead &amp; Integration</t>
  </si>
  <si>
    <t>Trần Minh Đức &amp; Team</t>
  </si>
  <si>
    <t>56h</t>
  </si>
  <si>
    <t>NestJS APIs, Top Givers, Meetings sync, Zalo/VNPAY webhooks, Mailer subdomain</t>
  </si>
  <si>
    <t>Fullstack Developer</t>
  </si>
  <si>
    <t>Lê Hoàng Long</t>
  </si>
  <si>
    <t>35h</t>
  </si>
  <si>
    <t>Thẻ hội viên privacy switch, Cơ hội bên mua/bên bán, Điểm danh check-in, Lịch họp ban</t>
  </si>
  <si>
    <t>UI/UX Designer</t>
  </si>
  <si>
    <t>Đặng Thu Thảo</t>
  </si>
  <si>
    <t>10h</t>
  </si>
  <si>
    <t>Event Poster thiết kế động, 3D Member Card, Biểu đồ thống kê 5 view</t>
  </si>
  <si>
    <t>DevOps &amp; Database Engineer</t>
  </si>
  <si>
    <t>Phạm Hải Đăng</t>
  </si>
  <si>
    <t>8h</t>
  </si>
  <si>
    <t>PostgreSQL schema, MinIO S3, Reverse proxy, SSL Let's Encrypt</t>
  </si>
  <si>
    <t>QA &amp; Technical Lead</t>
  </si>
  <si>
    <t>Vũ Phong Vũ</t>
  </si>
  <si>
    <t>6h</t>
  </si>
  <si>
    <t>Kiểm thử 0 lỗi type check, Error Boundary bảo vệ, Nghiệm thu chất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</si>
</sst>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color theme="1"/>
      <family val="2"/>
      <scheme val="minor"/>
      <sz val="11"/>
      <name val="Calibri"/>
    </font>
    <font>
      <b/>
      <color rgb="FFB8860B"/>
      <sz val="11"/>
      <name val="Calibri"/>
    </font>
    <font>
      <b/>
      <color rgb="FF1F3864"/>
      <sz val="16"/>
      <name val="Calibri"/>
    </font>
    <font>
      <i/>
      <color rgb="FF475467"/>
      <sz val="10"/>
      <name val="Calibri"/>
    </font>
    <font>
      <b/>
      <color rgb="FF1F3864"/>
      <sz val="10"/>
      <name val="Calibri"/>
    </font>
    <font>
      <b/>
      <color rgb="FFB42318"/>
      <sz val="10"/>
      <name val="Calibri"/>
    </font>
    <font>
      <b/>
      <color rgb="FF027A48"/>
      <sz val="10"/>
      <name val="Calibri"/>
    </font>
    <font>
      <b/>
      <color rgb="FFB54708"/>
      <sz val="10"/>
      <name val="Calibri"/>
    </font>
    <font>
      <b/>
      <color rgb="FFFFFFFF"/>
      <sz val="10"/>
      <name val="Calibri"/>
    </font>
    <font>
      <b/>
      <color rgb="FF1F3864"/>
      <sz val="11"/>
      <name val="Calibri"/>
    </font>
    <font>
      <color rgb="FF1D2939"/>
      <sz val="9.5"/>
      <name val="Calibri"/>
    </font>
    <font>
      <b/>
      <color rgb="FFB8860B"/>
      <sz val="10"/>
      <name val="Calibri"/>
    </font>
    <font>
      <b/>
      <color rgb="FFB42318"/>
      <sz val="9.5"/>
      <name val="Calibri"/>
    </font>
    <font>
      <b/>
      <color rgb="FF027A48"/>
      <sz val="9.5"/>
      <name val="Calibri"/>
    </font>
    <font>
      <b/>
      <color rgb="FFB54708"/>
      <sz val="9.5"/>
      <name val="Calibri"/>
    </font>
    <font>
      <b/>
      <color rgb="FFB42318"/>
      <sz val="12"/>
      <name val="Calibri"/>
    </font>
    <font>
      <b/>
      <color rgb="FF1F3864"/>
      <sz val="15"/>
      <name val="Calibri"/>
    </font>
    <font>
      <b/>
      <color rgb="FFFFFFFF"/>
      <sz val="11"/>
      <name val="Calibri"/>
    </font>
    <font>
      <b/>
      <color rgb="FF1F3864"/>
      <sz val="10.5"/>
      <name val="Calibri"/>
    </font>
    <font>
      <b/>
      <color rgb="FFB42318"/>
      <sz val="11"/>
      <name val="Calibri"/>
    </font>
    <font>
      <b/>
      <color rgb="FF1F3864"/>
      <sz val="14"/>
      <name val="Calibri"/>
    </font>
  </fonts>
  <fills count="8">
    <fill>
      <patternFill patternType="none"/>
    </fill>
    <fill>
      <patternFill patternType="gray125"/>
    </fill>
    <fill>
      <patternFill patternType="solid">
        <fgColor rgb="FFDCE6F2"/>
      </patternFill>
    </fill>
    <fill>
      <patternFill patternType="solid">
        <fgColor rgb="FFFEF3F2"/>
      </patternFill>
    </fill>
    <fill>
      <patternFill patternType="solid">
        <fgColor rgb="FFECFDF3"/>
      </patternFill>
    </fill>
    <fill>
      <patternFill patternType="solid">
        <fgColor rgb="FFFEF0C7"/>
      </patternFill>
    </fill>
    <fill>
      <patternFill patternType="solid">
        <fgColor rgb="FF1F3864"/>
      </patternFill>
    </fill>
    <fill>
      <patternFill patternType="solid">
        <fgColor rgb="FFF2F4F7"/>
      </patternFill>
    </fill>
  </fills>
  <borders count="5">
    <border>
      <left/>
      <right/>
      <top/>
      <bottom/>
      <diagonal/>
    </border>
    <border>
      <left style="thin">
        <color rgb="FFD0D5DD"/>
      </left>
      <right style="thin">
        <color rgb="FFD0D5DD"/>
      </right>
      <top style="thin">
        <color rgb="FFD0D5DD"/>
      </top>
      <bottom style="thin">
        <color rgb="FFD0D5DD"/>
      </bottom>
      <diagonal/>
    </border>
    <border>
      <left/>
      <right/>
      <top style="thin">
        <color rgb="FFD0D5DD"/>
      </top>
      <bottom style="thin">
        <color rgb="FFD0D5DD"/>
      </bottom>
      <diagonal/>
    </border>
    <border>
      <left style="thin">
        <color rgb="FFE4E7EC"/>
      </left>
      <right style="thin">
        <color rgb="FFE4E7EC"/>
      </right>
      <top style="thin">
        <color rgb="FFE4E7EC"/>
      </top>
      <bottom style="thin">
        <color rgb="FFE4E7EC"/>
      </bottom>
      <diagonal/>
    </border>
    <border>
      <left style="thin">
        <color rgb="FFD0D5DD"/>
      </left>
      <right style="thin">
        <color rgb="FFD0D5DD"/>
      </right>
      <top style="medium">
        <color rgb="FF1F3864"/>
      </top>
      <bottom style="double">
        <color rgb="FF1F3864"/>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2" borderId="0" xfId="0" applyFont="1" applyFill="1" applyAlignment="1">
      <alignment horizontal="center" vertical="center"/>
    </xf>
    <xf numFmtId="0" fontId="5" fillId="3" borderId="0" xfId="0" applyFont="1" applyFill="1" applyAlignment="1">
      <alignment horizontal="center" vertical="center"/>
    </xf>
    <xf numFmtId="0" fontId="6" fillId="4" borderId="0" xfId="0" applyFont="1" applyFill="1" applyAlignment="1">
      <alignment horizontal="center" vertical="center"/>
    </xf>
    <xf numFmtId="0" fontId="7" fillId="5" borderId="0" xfId="0" applyFont="1" applyFill="1" applyAlignment="1">
      <alignment horizontal="center" vertical="center"/>
    </xf>
    <xf numFmtId="0" fontId="8"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9" fillId="2" borderId="2" xfId="0" applyFont="1" applyFill="1" applyBorder="1" applyAlignment="1">
      <alignment vertical="center"/>
    </xf>
    <xf numFmtId="0" fontId="10" fillId="0" borderId="3" xfId="0" applyFont="1" applyBorder="1" applyAlignment="1">
      <alignment horizontal="center" vertical="center"/>
    </xf>
    <xf numFmtId="0" fontId="4" fillId="0" borderId="3" xfId="0" applyFont="1" applyBorder="1"/>
    <xf numFmtId="0" fontId="10" fillId="0" borderId="3" xfId="0" applyFont="1" applyBorder="1" applyAlignment="1">
      <alignment vertical="top" wrapText="1"/>
    </xf>
    <xf numFmtId="0" fontId="10" fillId="0" borderId="3" xfId="0" applyFont="1" applyBorder="1"/>
    <xf numFmtId="0" fontId="11" fillId="0" borderId="3" xfId="0" applyFont="1" applyBorder="1" applyAlignment="1">
      <alignment horizontal="right" vertical="center"/>
    </xf>
    <xf numFmtId="0" fontId="12" fillId="0" borderId="3" xfId="0" applyFont="1" applyBorder="1"/>
    <xf numFmtId="0" fontId="13" fillId="0" borderId="3" xfId="0" applyFont="1" applyBorder="1"/>
    <xf numFmtId="0" fontId="14" fillId="0" borderId="3" xfId="0" applyFont="1" applyBorder="1"/>
    <xf numFmtId="0" fontId="9" fillId="7" borderId="4" xfId="0" applyFont="1" applyFill="1" applyBorder="1" applyAlignment="1">
      <alignment horizontal="right" vertical="center"/>
    </xf>
    <xf numFmtId="0" fontId="15" fillId="3" borderId="4" xfId="0" applyFont="1" applyFill="1" applyBorder="1" applyAlignment="1">
      <alignment horizontal="right" vertical="center"/>
    </xf>
    <xf numFmtId="0" fontId="6" fillId="4" borderId="4" xfId="0" applyFont="1" applyFill="1" applyBorder="1" applyAlignment="1">
      <alignment horizontal="center" vertical="center"/>
    </xf>
    <xf numFmtId="0" fontId="16" fillId="0" borderId="0" xfId="0" applyFont="1"/>
    <xf numFmtId="0" fontId="17" fillId="6" borderId="0" xfId="0" applyFont="1" applyFill="1" applyAlignment="1">
      <alignment horizontal="center" vertical="center"/>
    </xf>
    <xf numFmtId="0" fontId="18" fillId="0" borderId="1" xfId="0" applyFont="1" applyBorder="1"/>
    <xf numFmtId="0" fontId="0" fillId="0" borderId="1" xfId="0" applyBorder="1" applyAlignment="1">
      <alignment vertical="top" wrapText="1"/>
    </xf>
    <xf numFmtId="0" fontId="19" fillId="0" borderId="1" xfId="0" applyFont="1" applyBorder="1" applyAlignment="1">
      <alignment horizontal="center" vertical="center"/>
    </xf>
    <xf numFmtId="0" fontId="6" fillId="0" borderId="1" xfId="0" applyFont="1" applyBorder="1"/>
    <xf numFmtId="0" fontId="7" fillId="0" borderId="1" xfId="0" applyFont="1" applyBorder="1"/>
    <xf numFmtId="0" fontId="20" fillId="0" borderId="0" xfId="0" applyFont="1"/>
    <xf numFmtId="0" fontId="0" fillId="0" borderId="1" xfId="0" applyBorder="1"/>
    <xf numFmtId="0" fontId="19" fillId="0" borderId="1" xfId="0" applyFont="1" applyBorder="1" applyAlignment="1">
      <alignment horizontal="right"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5"/>
  <sheetViews>
    <sheetView workbookViewId="0"/>
  </sheetViews>
  <sheetFormatPr defaultRowHeight="15" outlineLevelRow="0" outlineLevelCol="0" x14ac:dyDescent="55"/>
  <cols>
    <col min="1" max="1" width="6" customWidth="1"/>
    <col min="2" max="2" width="24" customWidth="1"/>
    <col min="3" max="3" width="40" customWidth="1"/>
    <col min="4" max="4" width="30" customWidth="1"/>
    <col min="5" max="5" width="45" customWidth="1"/>
    <col min="6" max="6" width="25" customWidth="1"/>
    <col min="7" max="7" width="16" customWidth="1"/>
    <col min="8" max="8" width="22" customWidth="1"/>
    <col min="9" max="9" width="20" customWidth="1"/>
    <col min="10" max="10" width="18" customWidth="1"/>
    <col min="11" max="11" width="28" customWidth="1"/>
  </cols>
  <sheetData>
    <row r="1" spans="1:11" x14ac:dyDescent="0.25">
      <c r="A1" s="1" t="s">
        <v>0</v>
      </c>
      <c r="B1" s="1"/>
      <c r="C1" s="1"/>
      <c r="D1" s="1"/>
      <c r="E1" s="1"/>
      <c r="F1" s="1"/>
      <c r="G1" s="1"/>
      <c r="H1" s="1"/>
      <c r="I1" s="1"/>
      <c r="J1" s="1"/>
      <c r="K1" s="1"/>
    </row>
    <row r="2" spans="1:11" x14ac:dyDescent="0.25">
      <c r="A2" s="2" t="s">
        <v>1</v>
      </c>
      <c r="B2" s="2"/>
      <c r="C2" s="2"/>
      <c r="D2" s="2"/>
      <c r="E2" s="2"/>
      <c r="F2" s="2"/>
      <c r="G2" s="2"/>
      <c r="H2" s="2"/>
      <c r="I2" s="2"/>
      <c r="J2" s="2"/>
      <c r="K2" s="2"/>
    </row>
    <row r="3" spans="1:11" x14ac:dyDescent="0.25">
      <c r="A3" s="3" t="s">
        <v>2</v>
      </c>
      <c r="B3" s="3"/>
      <c r="C3" s="3"/>
      <c r="D3" s="3"/>
      <c r="E3" s="3"/>
      <c r="F3" s="3"/>
      <c r="G3" s="3"/>
      <c r="H3" s="3"/>
      <c r="I3" s="3"/>
      <c r="J3" s="3"/>
      <c r="K3" s="3"/>
    </row>
    <row r="4" spans="1:11" x14ac:dyDescent="0.25">
      <c r="A4" s="4" t="s">
        <v>3</v>
      </c>
      <c r="B4" s="4"/>
      <c r="C4" s="4"/>
      <c r="D4" s="4"/>
      <c r="E4" s="4"/>
      <c r="F4" s="4"/>
      <c r="G4" s="4"/>
      <c r="H4" s="4"/>
      <c r="I4" s="4"/>
      <c r="J4" s="4"/>
      <c r="K4" s="4"/>
    </row>
    <row r="5" spans="1:11" x14ac:dyDescent="0.25">
      <c r="A5" s="5" t="s">
        <v>4</v>
      </c>
      <c r="B5" s="5"/>
      <c r="C5" s="6" t="s">
        <v>5</v>
      </c>
      <c r="D5" s="6"/>
      <c r="E5" s="7" t="s">
        <v>6</v>
      </c>
      <c r="F5" s="7"/>
      <c r="G5" s="8" t="s">
        <v>7</v>
      </c>
      <c r="H5" s="8"/>
      <c r="I5" s="8"/>
      <c r="J5" s="8"/>
      <c r="K5" s="8"/>
    </row>
    <row r="7" ht="28" customHeight="1" spans="1:11" x14ac:dyDescent="0.25">
      <c r="A7" s="9" t="s">
        <v>8</v>
      </c>
      <c r="B7" s="10" t="s">
        <v>9</v>
      </c>
      <c r="C7" s="10" t="s">
        <v>10</v>
      </c>
      <c r="D7" s="10" t="s">
        <v>11</v>
      </c>
      <c r="E7" s="10" t="s">
        <v>12</v>
      </c>
      <c r="F7" s="10" t="s">
        <v>13</v>
      </c>
      <c r="G7" s="9" t="s">
        <v>14</v>
      </c>
      <c r="H7" s="10" t="s">
        <v>15</v>
      </c>
      <c r="I7" s="10" t="s">
        <v>16</v>
      </c>
      <c r="J7" s="10" t="s">
        <v>17</v>
      </c>
      <c r="K7" s="10" t="s">
        <v>18</v>
      </c>
    </row>
    <row r="8" ht="24" customHeight="1" spans="1:11" x14ac:dyDescent="0.25">
      <c r="A8" s="11" t="s">
        <v>19</v>
      </c>
      <c r="B8" s="11"/>
      <c r="C8" s="11"/>
      <c r="D8" s="11"/>
      <c r="E8" s="11"/>
      <c r="F8" s="11"/>
      <c r="G8" s="11"/>
      <c r="H8" s="11"/>
      <c r="I8" s="11"/>
      <c r="J8" s="11"/>
      <c r="K8" s="11"/>
    </row>
    <row r="9" spans="1:11" x14ac:dyDescent="0.25">
      <c r="A9" s="12">
        <v>1</v>
      </c>
      <c r="B9" s="13" t="s">
        <v>20</v>
      </c>
      <c r="C9" s="14" t="s">
        <v>21</v>
      </c>
      <c r="D9" s="14" t="s">
        <v>22</v>
      </c>
      <c r="E9" s="14" t="s">
        <v>23</v>
      </c>
      <c r="F9" s="15" t="s">
        <v>24</v>
      </c>
      <c r="G9" s="16">
        <v>6</v>
      </c>
      <c r="H9" s="15" t="s">
        <v>25</v>
      </c>
      <c r="I9" s="15" t="s">
        <v>26</v>
      </c>
      <c r="J9" s="17" t="s">
        <v>27</v>
      </c>
      <c r="K9" s="18" t="s">
        <v>28</v>
      </c>
    </row>
    <row r="10" spans="1:11" x14ac:dyDescent="0.25">
      <c r="A10" s="12">
        <v>2</v>
      </c>
      <c r="B10" s="13" t="s">
        <v>29</v>
      </c>
      <c r="C10" s="14" t="s">
        <v>30</v>
      </c>
      <c r="D10" s="14" t="s">
        <v>31</v>
      </c>
      <c r="E10" s="14" t="s">
        <v>32</v>
      </c>
      <c r="F10" s="15" t="s">
        <v>33</v>
      </c>
      <c r="G10" s="16">
        <v>5</v>
      </c>
      <c r="H10" s="15" t="s">
        <v>34</v>
      </c>
      <c r="I10" s="15" t="s">
        <v>35</v>
      </c>
      <c r="J10" s="17" t="s">
        <v>27</v>
      </c>
      <c r="K10" s="18" t="s">
        <v>28</v>
      </c>
    </row>
    <row r="11" spans="1:11" x14ac:dyDescent="0.25">
      <c r="A11" s="12">
        <v>3</v>
      </c>
      <c r="B11" s="13" t="s">
        <v>36</v>
      </c>
      <c r="C11" s="14" t="s">
        <v>37</v>
      </c>
      <c r="D11" s="14" t="s">
        <v>38</v>
      </c>
      <c r="E11" s="14" t="s">
        <v>39</v>
      </c>
      <c r="F11" s="15" t="s">
        <v>40</v>
      </c>
      <c r="G11" s="16">
        <v>8</v>
      </c>
      <c r="H11" s="15" t="s">
        <v>41</v>
      </c>
      <c r="I11" s="15" t="s">
        <v>42</v>
      </c>
      <c r="J11" s="19" t="s">
        <v>43</v>
      </c>
      <c r="K11" s="18" t="s">
        <v>28</v>
      </c>
    </row>
    <row r="12" ht="24" customHeight="1" spans="1:11" x14ac:dyDescent="0.25">
      <c r="A12" s="11" t="s">
        <v>44</v>
      </c>
      <c r="B12" s="11"/>
      <c r="C12" s="11"/>
      <c r="D12" s="11"/>
      <c r="E12" s="11"/>
      <c r="F12" s="11"/>
      <c r="G12" s="11"/>
      <c r="H12" s="11"/>
      <c r="I12" s="11"/>
      <c r="J12" s="11"/>
      <c r="K12" s="11"/>
    </row>
    <row r="13" spans="1:11" x14ac:dyDescent="0.25">
      <c r="A13" s="12">
        <v>4</v>
      </c>
      <c r="B13" s="13" t="s">
        <v>45</v>
      </c>
      <c r="C13" s="14" t="s">
        <v>46</v>
      </c>
      <c r="D13" s="14" t="s">
        <v>47</v>
      </c>
      <c r="E13" s="14" t="s">
        <v>48</v>
      </c>
      <c r="F13" s="15" t="s">
        <v>49</v>
      </c>
      <c r="G13" s="16">
        <v>8</v>
      </c>
      <c r="H13" s="15" t="s">
        <v>50</v>
      </c>
      <c r="I13" s="15" t="s">
        <v>51</v>
      </c>
      <c r="J13" s="17" t="s">
        <v>27</v>
      </c>
      <c r="K13" s="18" t="s">
        <v>28</v>
      </c>
    </row>
    <row r="14" spans="1:11" x14ac:dyDescent="0.25">
      <c r="A14" s="12">
        <v>5</v>
      </c>
      <c r="B14" s="13" t="s">
        <v>52</v>
      </c>
      <c r="C14" s="14" t="s">
        <v>53</v>
      </c>
      <c r="D14" s="14" t="s">
        <v>54</v>
      </c>
      <c r="E14" s="14" t="s">
        <v>55</v>
      </c>
      <c r="F14" s="15" t="s">
        <v>40</v>
      </c>
      <c r="G14" s="16">
        <v>7</v>
      </c>
      <c r="H14" s="15" t="s">
        <v>56</v>
      </c>
      <c r="I14" s="15" t="s">
        <v>35</v>
      </c>
      <c r="J14" s="17" t="s">
        <v>27</v>
      </c>
      <c r="K14" s="18" t="s">
        <v>28</v>
      </c>
    </row>
    <row r="15" spans="1:11" x14ac:dyDescent="0.25">
      <c r="A15" s="12">
        <v>6</v>
      </c>
      <c r="B15" s="13" t="s">
        <v>57</v>
      </c>
      <c r="C15" s="14" t="s">
        <v>58</v>
      </c>
      <c r="D15" s="14" t="s">
        <v>59</v>
      </c>
      <c r="E15" s="14" t="s">
        <v>60</v>
      </c>
      <c r="F15" s="15" t="s">
        <v>61</v>
      </c>
      <c r="G15" s="16">
        <v>12</v>
      </c>
      <c r="H15" s="15" t="s">
        <v>50</v>
      </c>
      <c r="I15" s="15" t="s">
        <v>62</v>
      </c>
      <c r="J15" s="19" t="s">
        <v>43</v>
      </c>
      <c r="K15" s="19" t="s">
        <v>63</v>
      </c>
    </row>
    <row r="16" spans="1:11" x14ac:dyDescent="0.25">
      <c r="A16" s="12">
        <v>7</v>
      </c>
      <c r="B16" s="13" t="s">
        <v>64</v>
      </c>
      <c r="C16" s="14" t="s">
        <v>65</v>
      </c>
      <c r="D16" s="14" t="s">
        <v>66</v>
      </c>
      <c r="E16" s="14" t="s">
        <v>67</v>
      </c>
      <c r="F16" s="15" t="s">
        <v>68</v>
      </c>
      <c r="G16" s="16">
        <v>10</v>
      </c>
      <c r="H16" s="15" t="s">
        <v>69</v>
      </c>
      <c r="I16" s="15" t="s">
        <v>70</v>
      </c>
      <c r="J16" s="17" t="s">
        <v>71</v>
      </c>
      <c r="K16" s="18" t="s">
        <v>28</v>
      </c>
    </row>
    <row r="17" ht="24" customHeight="1" spans="1:11" x14ac:dyDescent="0.25">
      <c r="A17" s="11" t="s">
        <v>72</v>
      </c>
      <c r="B17" s="11"/>
      <c r="C17" s="11"/>
      <c r="D17" s="11"/>
      <c r="E17" s="11"/>
      <c r="F17" s="11"/>
      <c r="G17" s="11"/>
      <c r="H17" s="11"/>
      <c r="I17" s="11"/>
      <c r="J17" s="11"/>
      <c r="K17" s="11"/>
    </row>
    <row r="18" spans="1:11" x14ac:dyDescent="0.25">
      <c r="A18" s="12">
        <v>8</v>
      </c>
      <c r="B18" s="13" t="s">
        <v>73</v>
      </c>
      <c r="C18" s="14" t="s">
        <v>74</v>
      </c>
      <c r="D18" s="14" t="s">
        <v>75</v>
      </c>
      <c r="E18" s="14" t="s">
        <v>76</v>
      </c>
      <c r="F18" s="15" t="s">
        <v>77</v>
      </c>
      <c r="G18" s="16">
        <v>16</v>
      </c>
      <c r="H18" s="15" t="s">
        <v>78</v>
      </c>
      <c r="I18" s="15" t="s">
        <v>79</v>
      </c>
      <c r="J18" s="17" t="s">
        <v>80</v>
      </c>
      <c r="K18" s="18" t="s">
        <v>81</v>
      </c>
    </row>
    <row r="19" spans="1:11" x14ac:dyDescent="0.25">
      <c r="A19" s="12">
        <v>9</v>
      </c>
      <c r="B19" s="13" t="s">
        <v>82</v>
      </c>
      <c r="C19" s="14" t="s">
        <v>83</v>
      </c>
      <c r="D19" s="14" t="s">
        <v>84</v>
      </c>
      <c r="E19" s="14" t="s">
        <v>85</v>
      </c>
      <c r="F19" s="15" t="s">
        <v>86</v>
      </c>
      <c r="G19" s="16">
        <v>8</v>
      </c>
      <c r="H19" s="15" t="s">
        <v>87</v>
      </c>
      <c r="I19" s="15" t="s">
        <v>35</v>
      </c>
      <c r="J19" s="19" t="s">
        <v>88</v>
      </c>
      <c r="K19" s="18" t="s">
        <v>89</v>
      </c>
    </row>
    <row r="20" spans="1:11" x14ac:dyDescent="0.25">
      <c r="A20" s="12">
        <v>10</v>
      </c>
      <c r="B20" s="13" t="s">
        <v>90</v>
      </c>
      <c r="C20" s="14" t="s">
        <v>91</v>
      </c>
      <c r="D20" s="14" t="s">
        <v>92</v>
      </c>
      <c r="E20" s="14" t="s">
        <v>93</v>
      </c>
      <c r="F20" s="15" t="s">
        <v>94</v>
      </c>
      <c r="G20" s="16">
        <v>9</v>
      </c>
      <c r="H20" s="15" t="s">
        <v>69</v>
      </c>
      <c r="I20" s="15" t="s">
        <v>35</v>
      </c>
      <c r="J20" s="19" t="s">
        <v>95</v>
      </c>
      <c r="K20" s="18" t="s">
        <v>28</v>
      </c>
    </row>
    <row r="21" ht="24" customHeight="1" spans="1:11" x14ac:dyDescent="0.25">
      <c r="A21" s="11" t="s">
        <v>96</v>
      </c>
      <c r="B21" s="11"/>
      <c r="C21" s="11"/>
      <c r="D21" s="11"/>
      <c r="E21" s="11"/>
      <c r="F21" s="11"/>
      <c r="G21" s="11"/>
      <c r="H21" s="11"/>
      <c r="I21" s="11"/>
      <c r="J21" s="11"/>
      <c r="K21" s="11"/>
    </row>
    <row r="22" spans="1:11" x14ac:dyDescent="0.25">
      <c r="A22" s="12">
        <v>11</v>
      </c>
      <c r="B22" s="13" t="s">
        <v>97</v>
      </c>
      <c r="C22" s="14" t="s">
        <v>98</v>
      </c>
      <c r="D22" s="14" t="s">
        <v>99</v>
      </c>
      <c r="E22" s="14" t="s">
        <v>100</v>
      </c>
      <c r="F22" s="15" t="s">
        <v>101</v>
      </c>
      <c r="G22" s="16">
        <v>6</v>
      </c>
      <c r="H22" s="15" t="s">
        <v>69</v>
      </c>
      <c r="I22" s="15" t="s">
        <v>102</v>
      </c>
      <c r="J22" s="17" t="s">
        <v>103</v>
      </c>
      <c r="K22" s="18" t="s">
        <v>28</v>
      </c>
    </row>
    <row r="23" spans="1:11" x14ac:dyDescent="0.25">
      <c r="A23" s="12">
        <v>12</v>
      </c>
      <c r="B23" s="13" t="s">
        <v>104</v>
      </c>
      <c r="C23" s="14" t="s">
        <v>105</v>
      </c>
      <c r="D23" s="14" t="s">
        <v>106</v>
      </c>
      <c r="E23" s="14" t="s">
        <v>107</v>
      </c>
      <c r="F23" s="15" t="s">
        <v>108</v>
      </c>
      <c r="G23" s="16">
        <v>12</v>
      </c>
      <c r="H23" s="15" t="s">
        <v>109</v>
      </c>
      <c r="I23" s="15" t="s">
        <v>110</v>
      </c>
      <c r="J23" s="17" t="s">
        <v>71</v>
      </c>
      <c r="K23" s="18" t="s">
        <v>28</v>
      </c>
    </row>
    <row r="24" spans="1:11" x14ac:dyDescent="0.25">
      <c r="A24" s="12">
        <v>13</v>
      </c>
      <c r="B24" s="13" t="s">
        <v>111</v>
      </c>
      <c r="C24" s="14" t="s">
        <v>112</v>
      </c>
      <c r="D24" s="14" t="s">
        <v>113</v>
      </c>
      <c r="E24" s="14" t="s">
        <v>114</v>
      </c>
      <c r="F24" s="15" t="s">
        <v>115</v>
      </c>
      <c r="G24" s="16">
        <v>10</v>
      </c>
      <c r="H24" s="15" t="s">
        <v>69</v>
      </c>
      <c r="I24" s="15" t="s">
        <v>35</v>
      </c>
      <c r="J24" s="17" t="s">
        <v>80</v>
      </c>
      <c r="K24" s="18" t="s">
        <v>28</v>
      </c>
    </row>
    <row r="25" spans="1:11" x14ac:dyDescent="0.25">
      <c r="A25" s="12">
        <v>14</v>
      </c>
      <c r="B25" s="13" t="s">
        <v>116</v>
      </c>
      <c r="C25" s="14" t="s">
        <v>117</v>
      </c>
      <c r="D25" s="14" t="s">
        <v>118</v>
      </c>
      <c r="E25" s="14" t="s">
        <v>119</v>
      </c>
      <c r="F25" s="15" t="s">
        <v>120</v>
      </c>
      <c r="G25" s="16">
        <v>14</v>
      </c>
      <c r="H25" s="15" t="s">
        <v>69</v>
      </c>
      <c r="I25" s="15" t="s">
        <v>121</v>
      </c>
      <c r="J25" s="19" t="s">
        <v>122</v>
      </c>
      <c r="K25" s="18" t="s">
        <v>28</v>
      </c>
    </row>
    <row r="26" ht="24" customHeight="1" spans="1:11" x14ac:dyDescent="0.25">
      <c r="A26" s="11" t="s">
        <v>123</v>
      </c>
      <c r="B26" s="11"/>
      <c r="C26" s="11"/>
      <c r="D26" s="11"/>
      <c r="E26" s="11"/>
      <c r="F26" s="11"/>
      <c r="G26" s="11"/>
      <c r="H26" s="11"/>
      <c r="I26" s="11"/>
      <c r="J26" s="11"/>
      <c r="K26" s="11"/>
    </row>
    <row r="27" spans="1:11" x14ac:dyDescent="0.25">
      <c r="A27" s="12">
        <v>15</v>
      </c>
      <c r="B27" s="13" t="s">
        <v>124</v>
      </c>
      <c r="C27" s="14" t="s">
        <v>125</v>
      </c>
      <c r="D27" s="14" t="s">
        <v>126</v>
      </c>
      <c r="E27" s="14" t="s">
        <v>127</v>
      </c>
      <c r="F27" s="15" t="s">
        <v>128</v>
      </c>
      <c r="G27" s="16">
        <v>7</v>
      </c>
      <c r="H27" s="15" t="s">
        <v>129</v>
      </c>
      <c r="I27" s="15" t="s">
        <v>26</v>
      </c>
      <c r="J27" s="19" t="s">
        <v>43</v>
      </c>
      <c r="K27" s="18" t="s">
        <v>28</v>
      </c>
    </row>
    <row r="28" ht="24" customHeight="1" spans="1:11" x14ac:dyDescent="0.25">
      <c r="A28" s="11" t="s">
        <v>130</v>
      </c>
      <c r="B28" s="11"/>
      <c r="C28" s="11"/>
      <c r="D28" s="11"/>
      <c r="E28" s="11"/>
      <c r="F28" s="11"/>
      <c r="G28" s="11"/>
      <c r="H28" s="11"/>
      <c r="I28" s="11"/>
      <c r="J28" s="11"/>
      <c r="K28" s="11"/>
    </row>
    <row r="29" spans="1:11" x14ac:dyDescent="0.25">
      <c r="A29" s="12">
        <v>16</v>
      </c>
      <c r="B29" s="13" t="s">
        <v>131</v>
      </c>
      <c r="C29" s="14" t="s">
        <v>132</v>
      </c>
      <c r="D29" s="14" t="s">
        <v>133</v>
      </c>
      <c r="E29" s="14" t="s">
        <v>134</v>
      </c>
      <c r="F29" s="15" t="s">
        <v>135</v>
      </c>
      <c r="G29" s="16">
        <v>8</v>
      </c>
      <c r="H29" s="15" t="s">
        <v>136</v>
      </c>
      <c r="I29" s="15" t="s">
        <v>26</v>
      </c>
      <c r="J29" s="17" t="s">
        <v>27</v>
      </c>
      <c r="K29" s="18" t="s">
        <v>28</v>
      </c>
    </row>
    <row r="30" spans="1:11" x14ac:dyDescent="0.25">
      <c r="A30" s="12">
        <v>17</v>
      </c>
      <c r="B30" s="13" t="s">
        <v>137</v>
      </c>
      <c r="C30" s="14" t="s">
        <v>138</v>
      </c>
      <c r="D30" s="14" t="s">
        <v>139</v>
      </c>
      <c r="E30" s="14" t="s">
        <v>140</v>
      </c>
      <c r="F30" s="15" t="s">
        <v>141</v>
      </c>
      <c r="G30" s="16">
        <v>5</v>
      </c>
      <c r="H30" s="15" t="s">
        <v>142</v>
      </c>
      <c r="I30" s="15" t="s">
        <v>35</v>
      </c>
      <c r="J30" s="17" t="s">
        <v>27</v>
      </c>
      <c r="K30" s="18" t="s">
        <v>28</v>
      </c>
    </row>
    <row r="31" spans="1:11" x14ac:dyDescent="0.25">
      <c r="A31" s="12">
        <v>18</v>
      </c>
      <c r="B31" s="13" t="s">
        <v>143</v>
      </c>
      <c r="C31" s="14" t="s">
        <v>144</v>
      </c>
      <c r="D31" s="14" t="s">
        <v>145</v>
      </c>
      <c r="E31" s="14" t="s">
        <v>146</v>
      </c>
      <c r="F31" s="15" t="s">
        <v>147</v>
      </c>
      <c r="G31" s="16">
        <v>4</v>
      </c>
      <c r="H31" s="15" t="s">
        <v>148</v>
      </c>
      <c r="I31" s="15" t="s">
        <v>149</v>
      </c>
      <c r="J31" s="17" t="s">
        <v>150</v>
      </c>
      <c r="K31" s="18" t="s">
        <v>28</v>
      </c>
    </row>
    <row r="32" spans="1:11" x14ac:dyDescent="0.25">
      <c r="A32" s="12">
        <v>19</v>
      </c>
      <c r="B32" s="13" t="s">
        <v>151</v>
      </c>
      <c r="C32" s="14" t="s">
        <v>152</v>
      </c>
      <c r="D32" s="14" t="s">
        <v>153</v>
      </c>
      <c r="E32" s="14" t="s">
        <v>154</v>
      </c>
      <c r="F32" s="15" t="s">
        <v>155</v>
      </c>
      <c r="G32" s="16">
        <v>12</v>
      </c>
      <c r="H32" s="15" t="s">
        <v>156</v>
      </c>
      <c r="I32" s="15" t="s">
        <v>121</v>
      </c>
      <c r="J32" s="17" t="s">
        <v>27</v>
      </c>
      <c r="K32" s="18" t="s">
        <v>28</v>
      </c>
    </row>
    <row r="33" spans="1:11" x14ac:dyDescent="0.25">
      <c r="A33" s="12">
        <v>20</v>
      </c>
      <c r="B33" s="13" t="s">
        <v>157</v>
      </c>
      <c r="C33" s="14" t="s">
        <v>158</v>
      </c>
      <c r="D33" s="14" t="s">
        <v>159</v>
      </c>
      <c r="E33" s="14" t="s">
        <v>160</v>
      </c>
      <c r="F33" s="15" t="s">
        <v>161</v>
      </c>
      <c r="G33" s="16">
        <v>10</v>
      </c>
      <c r="H33" s="15" t="s">
        <v>162</v>
      </c>
      <c r="I33" s="15" t="s">
        <v>163</v>
      </c>
      <c r="J33" s="17" t="s">
        <v>27</v>
      </c>
      <c r="K33" s="18" t="s">
        <v>28</v>
      </c>
    </row>
    <row r="34" spans="1:11" x14ac:dyDescent="0.25">
      <c r="A34" s="12">
        <v>21</v>
      </c>
      <c r="B34" s="13" t="s">
        <v>164</v>
      </c>
      <c r="C34" s="14" t="s">
        <v>165</v>
      </c>
      <c r="D34" s="14" t="s">
        <v>166</v>
      </c>
      <c r="E34" s="14" t="s">
        <v>167</v>
      </c>
      <c r="F34" s="15" t="s">
        <v>168</v>
      </c>
      <c r="G34" s="16">
        <v>2</v>
      </c>
      <c r="H34" s="15" t="s">
        <v>148</v>
      </c>
      <c r="I34" s="15" t="s">
        <v>169</v>
      </c>
      <c r="J34" s="17" t="s">
        <v>27</v>
      </c>
      <c r="K34" s="18" t="s">
        <v>28</v>
      </c>
    </row>
    <row r="35" ht="26" customHeight="1" spans="1:11" x14ac:dyDescent="0.25">
      <c r="A35" s="20" t="s">
        <v>170</v>
      </c>
      <c r="B35" s="20"/>
      <c r="C35" s="20"/>
      <c r="D35" s="20"/>
      <c r="E35" s="20"/>
      <c r="F35" s="20"/>
      <c r="G35" s="21">
        <f>SUM(G9,G10,G11,G13,G14,G15,G16,G18,G19,G20,G22,G23,G24,G25,G27,G29,G30,G31,G32,G33,G34)</f>
        <v>179</v>
      </c>
      <c r="H35" s="22" t="s">
        <v>171</v>
      </c>
      <c r="I35" s="22"/>
      <c r="J35" s="22"/>
      <c r="K35" s="22"/>
    </row>
  </sheetData>
  <mergeCells count="16">
    <mergeCell ref="A1:K1"/>
    <mergeCell ref="A2:K2"/>
    <mergeCell ref="A3:K3"/>
    <mergeCell ref="A4:K4"/>
    <mergeCell ref="A5:B5"/>
    <mergeCell ref="C5:D5"/>
    <mergeCell ref="E5:F5"/>
    <mergeCell ref="G5:K5"/>
    <mergeCell ref="A8:K8"/>
    <mergeCell ref="A12:K12"/>
    <mergeCell ref="A17:K17"/>
    <mergeCell ref="A21:K21"/>
    <mergeCell ref="A26:K26"/>
    <mergeCell ref="A28:K28"/>
    <mergeCell ref="A35:F35"/>
    <mergeCell ref="H35:K35"/>
  </mergeCells>
  <pageMargins left="0.7" right="0.7" top="0.75" bottom="0.75" header="0.3" footer="0.3"/>
  <pageSetup paperSize="9"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
  <sheetViews>
    <sheetView workbookViewId="0"/>
  </sheetViews>
  <sheetFormatPr defaultRowHeight="15" outlineLevelRow="0" outlineLevelCol="0" x14ac:dyDescent="55"/>
  <cols>
    <col min="1" max="1" width="30" customWidth="1"/>
    <col min="2" max="2" width="55" customWidth="1"/>
    <col min="3" max="3" width="18" customWidth="1"/>
    <col min="4" max="5" width="35" customWidth="1"/>
  </cols>
  <sheetData>
    <row r="1" spans="1:7" x14ac:dyDescent="0.25">
      <c r="A1" s="23" t="s">
        <v>172</v>
      </c>
      <c r="B1" s="23"/>
      <c r="C1" s="23"/>
      <c r="D1" s="23"/>
      <c r="E1" s="23"/>
      <c r="F1" s="23"/>
      <c r="G1" s="23"/>
    </row>
    <row r="3" ht="24" customHeight="1" spans="1:5" x14ac:dyDescent="0.25">
      <c r="A3" s="24" t="s">
        <v>173</v>
      </c>
      <c r="B3" s="24" t="s">
        <v>174</v>
      </c>
      <c r="C3" s="24" t="s">
        <v>175</v>
      </c>
      <c r="D3" s="24" t="s">
        <v>176</v>
      </c>
      <c r="E3" s="24" t="s">
        <v>177</v>
      </c>
    </row>
    <row r="4" ht="42" customHeight="1" spans="1:5" x14ac:dyDescent="0.25">
      <c r="A4" s="25" t="s">
        <v>178</v>
      </c>
      <c r="B4" s="26" t="s">
        <v>179</v>
      </c>
      <c r="C4" s="27" t="s">
        <v>180</v>
      </c>
      <c r="D4" s="28" t="s">
        <v>181</v>
      </c>
      <c r="E4" s="26" t="s">
        <v>182</v>
      </c>
    </row>
    <row r="5" ht="42" customHeight="1" spans="1:5" x14ac:dyDescent="0.25">
      <c r="A5" s="25" t="s">
        <v>183</v>
      </c>
      <c r="B5" s="26" t="s">
        <v>184</v>
      </c>
      <c r="C5" s="27" t="s">
        <v>185</v>
      </c>
      <c r="D5" s="28" t="s">
        <v>186</v>
      </c>
      <c r="E5" s="26" t="s">
        <v>187</v>
      </c>
    </row>
    <row r="6" ht="42" customHeight="1" spans="1:5" x14ac:dyDescent="0.25">
      <c r="A6" s="25" t="s">
        <v>188</v>
      </c>
      <c r="B6" s="26" t="s">
        <v>189</v>
      </c>
      <c r="C6" s="27" t="s">
        <v>190</v>
      </c>
      <c r="D6" s="29" t="s">
        <v>191</v>
      </c>
      <c r="E6" s="26" t="s">
        <v>192</v>
      </c>
    </row>
  </sheetData>
  <mergeCells count="1">
    <mergeCell ref="A1:G1"/>
  </mergeCells>
  <pageMargins left="0.7" right="0.7" top="0.75" bottom="0.75" header="0.3" footer="0.3"/>
  <pageSetup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heetViews>
  <sheetFormatPr defaultRowHeight="15" outlineLevelRow="0" outlineLevelCol="0" x14ac:dyDescent="55"/>
  <cols>
    <col min="1" max="2" width="25" customWidth="1"/>
    <col min="3" max="3" width="18" customWidth="1"/>
    <col min="4" max="4" width="55" customWidth="1"/>
  </cols>
  <sheetData>
    <row r="1" spans="1:4" x14ac:dyDescent="0.25">
      <c r="A1" s="30" t="s">
        <v>193</v>
      </c>
      <c r="B1" s="30"/>
      <c r="C1" s="30"/>
      <c r="D1" s="30"/>
    </row>
    <row r="3" ht="24" customHeight="1" spans="1:4" x14ac:dyDescent="0.25">
      <c r="A3" s="24" t="s">
        <v>194</v>
      </c>
      <c r="B3" s="24" t="s">
        <v>16</v>
      </c>
      <c r="C3" s="24" t="s">
        <v>195</v>
      </c>
      <c r="D3" s="24" t="s">
        <v>196</v>
      </c>
    </row>
    <row r="4" ht="26" customHeight="1" spans="1:4" x14ac:dyDescent="0.25">
      <c r="A4" s="25" t="s">
        <v>26</v>
      </c>
      <c r="B4" s="31" t="s">
        <v>197</v>
      </c>
      <c r="C4" s="32" t="s">
        <v>198</v>
      </c>
      <c r="D4" s="33" t="s">
        <v>199</v>
      </c>
    </row>
    <row r="5" ht="26" customHeight="1" spans="1:4" x14ac:dyDescent="0.25">
      <c r="A5" s="25" t="s">
        <v>200</v>
      </c>
      <c r="B5" s="31" t="s">
        <v>201</v>
      </c>
      <c r="C5" s="32" t="s">
        <v>202</v>
      </c>
      <c r="D5" s="33" t="s">
        <v>203</v>
      </c>
    </row>
    <row r="6" ht="26" customHeight="1" spans="1:4" x14ac:dyDescent="0.25">
      <c r="A6" s="25" t="s">
        <v>204</v>
      </c>
      <c r="B6" s="31" t="s">
        <v>205</v>
      </c>
      <c r="C6" s="32" t="s">
        <v>206</v>
      </c>
      <c r="D6" s="33" t="s">
        <v>207</v>
      </c>
    </row>
    <row r="7" ht="26" customHeight="1" spans="1:4" x14ac:dyDescent="0.25">
      <c r="A7" s="25" t="s">
        <v>208</v>
      </c>
      <c r="B7" s="31" t="s">
        <v>209</v>
      </c>
      <c r="C7" s="32" t="s">
        <v>210</v>
      </c>
      <c r="D7" s="33" t="s">
        <v>211</v>
      </c>
    </row>
    <row r="8" ht="26" customHeight="1" spans="1:4" x14ac:dyDescent="0.25">
      <c r="A8" s="25" t="s">
        <v>212</v>
      </c>
      <c r="B8" s="31" t="s">
        <v>213</v>
      </c>
      <c r="C8" s="32" t="s">
        <v>214</v>
      </c>
      <c r="D8" s="33" t="s">
        <v>215</v>
      </c>
    </row>
    <row r="9" ht="26" customHeight="1" spans="1:4" x14ac:dyDescent="0.25">
      <c r="A9" s="25" t="s">
        <v>216</v>
      </c>
      <c r="B9" s="31" t="s">
        <v>217</v>
      </c>
      <c r="C9" s="32" t="s">
        <v>218</v>
      </c>
      <c r="D9" s="33" t="s">
        <v>219</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Ước lượng công việc chi tiết</vt:lpstr>
      <vt:lpstr>Lộ trình triển khai (Roadmap)</vt:lpstr>
      <vt:lpstr>Phân bổ nguồn lực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VICONNECT &amp; CLB Doanh Nhân CEO 1983</dc:creator>
  <dc:title/>
  <dc:subject/>
  <dc:description/>
  <cp:keywords/>
  <cp:category/>
  <cp:lastModifiedBy>Unknown</cp:lastModifiedBy>
  <dcterms:created xsi:type="dcterms:W3CDTF">2026-10-22T06:35:44Z</dcterms:created>
  <dcterms:modified xsi:type="dcterms:W3CDTF">2026-10-22T06:35:44Z</dcterms:modified>
</cp:coreProperties>
</file>